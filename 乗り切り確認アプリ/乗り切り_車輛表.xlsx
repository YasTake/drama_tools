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ra7\Dropbox\黒崎くんの言いなりになんてならない\"/>
    </mc:Choice>
  </mc:AlternateContent>
  <xr:revisionPtr revIDLastSave="0" documentId="13_ncr:2001_{CDB918BC-F7A3-435B-9C54-1D7663E80B7B}" xr6:coauthVersionLast="47" xr6:coauthVersionMax="47" xr10:uidLastSave="{00000000-0000-0000-0000-000000000000}"/>
  <bookViews>
    <workbookView xWindow="-108" yWindow="-108" windowWidth="23256" windowHeight="12456" xr2:uid="{690CCFC8-DA0E-4D82-BB96-C989DA19672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" i="1" l="1"/>
  <c r="S14" i="1"/>
  <c r="E2" i="1"/>
  <c r="E8" i="1"/>
  <c r="E9" i="1"/>
  <c r="E10" i="1"/>
  <c r="E7" i="1"/>
  <c r="E3" i="1"/>
  <c r="E5" i="1"/>
  <c r="E6" i="1"/>
</calcChain>
</file>

<file path=xl/sharedStrings.xml><?xml version="1.0" encoding="utf-8"?>
<sst xmlns="http://schemas.openxmlformats.org/spreadsheetml/2006/main" count="66" uniqueCount="66">
  <si>
    <t>室井</t>
    <rPh sb="0" eb="2">
      <t>ムロイ</t>
    </rPh>
    <phoneticPr fontId="1"/>
  </si>
  <si>
    <t>市川</t>
    <rPh sb="0" eb="2">
      <t>イチカワ</t>
    </rPh>
    <phoneticPr fontId="1"/>
  </si>
  <si>
    <t>撮影①</t>
    <rPh sb="0" eb="2">
      <t>サツエイ</t>
    </rPh>
    <phoneticPr fontId="1"/>
  </si>
  <si>
    <t>照明①</t>
    <rPh sb="0" eb="2">
      <t>ショウメイ</t>
    </rPh>
    <phoneticPr fontId="1"/>
  </si>
  <si>
    <t>FOD②</t>
    <phoneticPr fontId="1"/>
  </si>
  <si>
    <t>野田</t>
    <rPh sb="0" eb="2">
      <t>ノダ</t>
    </rPh>
    <phoneticPr fontId="1"/>
  </si>
  <si>
    <t>野田車(アルファード)</t>
    <rPh sb="0" eb="3">
      <t>ノダシャ</t>
    </rPh>
    <phoneticPr fontId="1"/>
  </si>
  <si>
    <t>先発(マイクロ)</t>
    <rPh sb="0" eb="2">
      <t>センパツ</t>
    </rPh>
    <phoneticPr fontId="1"/>
  </si>
  <si>
    <t>本隊車(10人乗り)</t>
    <rPh sb="0" eb="3">
      <t>ホンタイシャ</t>
    </rPh>
    <rPh sb="6" eb="8">
      <t>ニンノ</t>
    </rPh>
    <phoneticPr fontId="1"/>
  </si>
  <si>
    <t>Dr.</t>
    <phoneticPr fontId="1"/>
  </si>
  <si>
    <t>安武</t>
    <rPh sb="0" eb="2">
      <t>ヤスタケ</t>
    </rPh>
    <phoneticPr fontId="1"/>
  </si>
  <si>
    <t>衣装②</t>
    <rPh sb="0" eb="2">
      <t>イショウ</t>
    </rPh>
    <phoneticPr fontId="1"/>
  </si>
  <si>
    <t>メイク②</t>
    <phoneticPr fontId="1"/>
  </si>
  <si>
    <t>定員</t>
    <rPh sb="0" eb="2">
      <t>テイイン</t>
    </rPh>
    <phoneticPr fontId="1"/>
  </si>
  <si>
    <t>乗車数</t>
    <rPh sb="0" eb="2">
      <t>ジョウシャ</t>
    </rPh>
    <rPh sb="2" eb="3">
      <t>スウ</t>
    </rPh>
    <phoneticPr fontId="1"/>
  </si>
  <si>
    <t>金城車(フィット)</t>
    <rPh sb="0" eb="2">
      <t>キンジョウ</t>
    </rPh>
    <rPh sb="2" eb="3">
      <t>シャ</t>
    </rPh>
    <phoneticPr fontId="1"/>
  </si>
  <si>
    <t>金城</t>
    <rPh sb="0" eb="2">
      <t>キンジョウ</t>
    </rPh>
    <phoneticPr fontId="1"/>
  </si>
  <si>
    <t>備品車(キャラバン)</t>
    <rPh sb="0" eb="3">
      <t>ビヒンシャ</t>
    </rPh>
    <phoneticPr fontId="1"/>
  </si>
  <si>
    <t>遊佐</t>
    <rPh sb="0" eb="2">
      <t>ユサ</t>
    </rPh>
    <phoneticPr fontId="1"/>
  </si>
  <si>
    <t>メイク①</t>
    <phoneticPr fontId="1"/>
  </si>
  <si>
    <t>キャスト①</t>
    <phoneticPr fontId="1"/>
  </si>
  <si>
    <t>キャスト②</t>
    <phoneticPr fontId="1"/>
  </si>
  <si>
    <t>キャスト③</t>
    <phoneticPr fontId="1"/>
  </si>
  <si>
    <t>キャスト④</t>
    <phoneticPr fontId="1"/>
  </si>
  <si>
    <t>キャスト⑤</t>
    <phoneticPr fontId="1"/>
  </si>
  <si>
    <t>FOD①</t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</si>
  <si>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</si>
  <si>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</si>
  <si>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</si>
  <si>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</si>
  <si>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⑤</t>
    <phoneticPr fontId="1"/>
  </si>
  <si>
    <t>⑥</t>
    <phoneticPr fontId="1"/>
  </si>
  <si>
    <t>⑦</t>
    <phoneticPr fontId="1"/>
  </si>
  <si>
    <t>⑧</t>
    <phoneticPr fontId="1"/>
  </si>
  <si>
    <t>⑨</t>
    <phoneticPr fontId="1"/>
  </si>
  <si>
    <t>⑩</t>
    <phoneticPr fontId="1"/>
  </si>
  <si>
    <t>⑪</t>
    <phoneticPr fontId="1"/>
  </si>
  <si>
    <t>衣装①</t>
    <rPh sb="0" eb="2">
      <t>イショウ</t>
    </rPh>
    <phoneticPr fontId="1"/>
  </si>
  <si>
    <t>機材車(ハイエース)</t>
    <rPh sb="0" eb="3">
      <t>キザイシャ</t>
    </rPh>
    <phoneticPr fontId="1"/>
  </si>
  <si>
    <t>照明車(ハイエース)</t>
    <rPh sb="0" eb="3">
      <t>ショウメイシャ</t>
    </rPh>
    <phoneticPr fontId="1"/>
  </si>
  <si>
    <t>野村</t>
    <rPh sb="0" eb="2">
      <t>ノムラ</t>
    </rPh>
    <phoneticPr fontId="1"/>
  </si>
  <si>
    <t>反方</t>
    <rPh sb="0" eb="1">
      <t>ハン</t>
    </rPh>
    <rPh sb="1" eb="2">
      <t>ホウ</t>
    </rPh>
    <phoneticPr fontId="1"/>
  </si>
  <si>
    <t>美トラ(2tトラック)</t>
    <rPh sb="0" eb="1">
      <t>ビ</t>
    </rPh>
    <phoneticPr fontId="1"/>
  </si>
  <si>
    <t>美ハイ(ハイエース)</t>
    <rPh sb="0" eb="1">
      <t>ビ</t>
    </rPh>
    <phoneticPr fontId="1"/>
  </si>
  <si>
    <t>録音①</t>
    <rPh sb="0" eb="2">
      <t>ロクオン</t>
    </rPh>
    <phoneticPr fontId="1"/>
  </si>
  <si>
    <t>録音②</t>
    <rPh sb="0" eb="2">
      <t>ロクオン</t>
    </rPh>
    <phoneticPr fontId="1"/>
  </si>
  <si>
    <t>録音③</t>
    <rPh sb="0" eb="2">
      <t>ロクオン</t>
    </rPh>
    <phoneticPr fontId="1"/>
  </si>
  <si>
    <t>キャストはREIAのみ車両アリ</t>
    <rPh sb="11" eb="13">
      <t>シャリョウ</t>
    </rPh>
    <phoneticPr fontId="1"/>
  </si>
  <si>
    <t>機材車、照明車、美ハイ、美トラ、レンタカーだと毎日の駐車代の計上が必要。</t>
    <rPh sb="0" eb="3">
      <t>キザイシャ</t>
    </rPh>
    <rPh sb="4" eb="7">
      <t>ショウメイシャ</t>
    </rPh>
    <rPh sb="8" eb="9">
      <t>ビ</t>
    </rPh>
    <rPh sb="12" eb="13">
      <t>ビ</t>
    </rPh>
    <rPh sb="23" eb="25">
      <t>マイニチ</t>
    </rPh>
    <rPh sb="26" eb="29">
      <t>チュウシャダイ</t>
    </rPh>
    <rPh sb="30" eb="32">
      <t>ケイジョウ</t>
    </rPh>
    <rPh sb="33" eb="35">
      <t>ヒツヨウ</t>
    </rPh>
    <phoneticPr fontId="1"/>
  </si>
  <si>
    <t>撮助</t>
    <rPh sb="0" eb="1">
      <t>サツ</t>
    </rPh>
    <rPh sb="1" eb="2">
      <t>ジョ</t>
    </rPh>
    <phoneticPr fontId="1"/>
  </si>
  <si>
    <t>日数が減るかも？</t>
    <rPh sb="0" eb="2">
      <t>ニッスウ</t>
    </rPh>
    <rPh sb="3" eb="4">
      <t>ヘ</t>
    </rPh>
    <phoneticPr fontId="1"/>
  </si>
  <si>
    <t>朝食どうするか。500円までで精算。またはクオカード</t>
    <rPh sb="0" eb="2">
      <t>チョウショク</t>
    </rPh>
    <rPh sb="11" eb="12">
      <t>エン</t>
    </rPh>
    <rPh sb="15" eb="17">
      <t>セイサン</t>
    </rPh>
    <phoneticPr fontId="1"/>
  </si>
  <si>
    <t>スチール</t>
    <phoneticPr fontId="1"/>
  </si>
  <si>
    <t>⑫</t>
    <phoneticPr fontId="1"/>
  </si>
  <si>
    <t>⑬</t>
    <phoneticPr fontId="1"/>
  </si>
  <si>
    <t>⑭</t>
    <phoneticPr fontId="1"/>
  </si>
  <si>
    <t>⑮</t>
    <phoneticPr fontId="1"/>
  </si>
  <si>
    <t>萩さん</t>
    <rPh sb="0" eb="1">
      <t>ハギ</t>
    </rPh>
    <phoneticPr fontId="1"/>
  </si>
  <si>
    <t>撮影②</t>
    <rPh sb="0" eb="2">
      <t>サツエイ</t>
    </rPh>
    <phoneticPr fontId="1"/>
  </si>
  <si>
    <t>助監①</t>
    <rPh sb="0" eb="1">
      <t>ジョ</t>
    </rPh>
    <rPh sb="1" eb="2">
      <t>カン</t>
    </rPh>
    <phoneticPr fontId="1"/>
  </si>
  <si>
    <t>助監②</t>
    <rPh sb="0" eb="1">
      <t>ジョ</t>
    </rPh>
    <rPh sb="1" eb="2">
      <t>カン</t>
    </rPh>
    <phoneticPr fontId="1"/>
  </si>
  <si>
    <t>鴻池</t>
  </si>
  <si>
    <t>斎藤</t>
    <phoneticPr fontId="1"/>
  </si>
  <si>
    <t>FOD③</t>
    <phoneticPr fontId="1"/>
  </si>
  <si>
    <t>浅野</t>
    <rPh sb="0" eb="2">
      <t>アサノ</t>
    </rPh>
    <phoneticPr fontId="1"/>
  </si>
  <si>
    <t>車両No.</t>
    <rPh sb="0" eb="2">
      <t>シャリョウ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</si>
</sst>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2" borderId="0" xfId="0" applyFill="1" applyAlignment="1">
      <alignment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300C7-2C8B-4758-AEB0-1B3AEA2D3590}">
  <dimension ref="A1:T17"/>
  <sheetViews>
    <sheetView tabSelected="1" workbookViewId="0">
      <selection activeCell="H5" sqref="H5"/>
    </sheetView>
  </sheetViews>
  <sheetFormatPr defaultRowHeight="18" x14ac:dyDescent="0.45"/>
  <cols>
    <col min="1" max="1" width="19.69921875" bestFit="1" customWidth="1"/>
    <col min="2" max="2" width="19.69921875" customWidth="1"/>
    <col min="3" max="3" width="5" bestFit="1" customWidth="1"/>
    <col min="4" max="4" width="5" customWidth="1"/>
    <col min="5" max="5" width="4.59765625" customWidth="1"/>
    <col min="6" max="16" width="6.796875" style="2" customWidth="1"/>
  </cols>
  <sheetData>
    <row r="1" spans="1:20" s="1" customFormat="1" x14ac:dyDescent="0.45">
      <c r="B1" s="1" t="s">
        <v>65</v>
      </c>
      <c r="C1" s="1" t="s">
        <v>9</v>
      </c>
      <c r="D1" s="1" t="s">
        <v>13</v>
      </c>
      <c r="E1" s="3" t="s">
        <v>14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1" t="s">
        <v>53</v>
      </c>
      <c r="R1" s="1" t="s">
        <v>54</v>
      </c>
      <c r="S1" s="1" t="s">
        <v>55</v>
      </c>
      <c r="T1" s="1" t="s">
        <v>56</v>
      </c>
    </row>
    <row r="2" spans="1:20" x14ac:dyDescent="0.45">
      <c r="A2" t="s">
        <v>7</v>
      </c>
      <c r="C2" t="s">
        <v>64</v>
      </c>
      <c r="D2">
        <v>13</v>
      </c>
      <c r="E2">
        <f>COUNTA(F2:U2)</f>
        <v>13</v>
      </c>
      <c r="F2" s="2" t="s">
        <v>62</v>
      </c>
      <c r="G2" s="2" t="s">
        <v>59</v>
      </c>
      <c r="H2" s="2" t="s">
        <v>60</v>
      </c>
      <c r="I2" s="2" t="s">
        <v>37</v>
      </c>
      <c r="J2" s="2" t="s">
        <v>11</v>
      </c>
      <c r="K2" s="2" t="s">
        <v>19</v>
      </c>
      <c r="L2" s="2" t="s">
        <v>12</v>
      </c>
      <c r="M2" s="2" t="s">
        <v>20</v>
      </c>
      <c r="N2" s="2" t="s">
        <v>21</v>
      </c>
      <c r="O2" s="2" t="s">
        <v>22</v>
      </c>
      <c r="P2" s="2" t="s">
        <v>23</v>
      </c>
      <c r="Q2" s="2" t="s">
        <v>24</v>
      </c>
      <c r="R2" s="2" t="s">
        <v>61</v>
      </c>
      <c r="S2" s="2"/>
    </row>
    <row r="3" spans="1:20" x14ac:dyDescent="0.45">
      <c r="A3" t="s">
        <v>8</v>
      </c>
      <c r="B3">
        <v>217</v>
      </c>
      <c r="C3" t="s">
        <v>10</v>
      </c>
      <c r="D3">
        <v>9</v>
      </c>
      <c r="E3">
        <f t="shared" ref="E3:E10" si="0">COUNTA(F3:P3)</f>
        <v>8</v>
      </c>
      <c r="F3" s="2" t="s">
        <v>1</v>
      </c>
      <c r="G3" s="2" t="s">
        <v>2</v>
      </c>
      <c r="H3" s="2" t="s">
        <v>58</v>
      </c>
      <c r="I3" s="2" t="s">
        <v>3</v>
      </c>
      <c r="J3" s="2" t="s">
        <v>44</v>
      </c>
      <c r="K3" s="2" t="s">
        <v>45</v>
      </c>
      <c r="L3" s="2" t="s">
        <v>46</v>
      </c>
      <c r="M3" s="2" t="s">
        <v>52</v>
      </c>
      <c r="O3" s="4"/>
      <c r="P3" s="4"/>
      <c r="Q3" s="4"/>
      <c r="R3" s="4"/>
      <c r="S3" s="4"/>
      <c r="T3" s="4"/>
    </row>
    <row r="4" spans="1:20" x14ac:dyDescent="0.45">
      <c r="A4" t="s">
        <v>6</v>
      </c>
      <c r="C4" t="s">
        <v>5</v>
      </c>
      <c r="D4">
        <v>6</v>
      </c>
      <c r="E4">
        <f>COUNTA(F4:P4)</f>
        <v>4</v>
      </c>
      <c r="F4" s="2" t="s">
        <v>0</v>
      </c>
      <c r="G4" s="2" t="s">
        <v>25</v>
      </c>
      <c r="H4" s="2" t="s">
        <v>4</v>
      </c>
      <c r="I4" s="2" t="s">
        <v>63</v>
      </c>
      <c r="L4" s="4"/>
      <c r="M4" s="4"/>
      <c r="N4" s="4"/>
      <c r="O4" s="4"/>
      <c r="P4" s="4"/>
      <c r="Q4" s="4"/>
      <c r="R4" s="4"/>
      <c r="S4" s="4"/>
      <c r="T4" s="4"/>
    </row>
    <row r="5" spans="1:20" x14ac:dyDescent="0.45">
      <c r="A5" t="s">
        <v>15</v>
      </c>
      <c r="B5">
        <v>358</v>
      </c>
      <c r="C5" t="s">
        <v>16</v>
      </c>
      <c r="D5">
        <v>3</v>
      </c>
      <c r="E5">
        <f>COUNTA(F5:P5)</f>
        <v>0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spans="1:20" x14ac:dyDescent="0.45">
      <c r="A6" t="s">
        <v>17</v>
      </c>
      <c r="C6" t="s">
        <v>18</v>
      </c>
      <c r="D6">
        <v>1</v>
      </c>
      <c r="E6">
        <f t="shared" si="0"/>
        <v>0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x14ac:dyDescent="0.45">
      <c r="A7" t="s">
        <v>38</v>
      </c>
      <c r="C7" t="s">
        <v>49</v>
      </c>
      <c r="D7">
        <v>2</v>
      </c>
      <c r="E7">
        <f t="shared" si="0"/>
        <v>1</v>
      </c>
      <c r="F7" s="2" t="s">
        <v>40</v>
      </c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0" x14ac:dyDescent="0.45">
      <c r="A8" t="s">
        <v>39</v>
      </c>
      <c r="C8" t="s">
        <v>41</v>
      </c>
      <c r="D8">
        <v>2</v>
      </c>
      <c r="E8">
        <f t="shared" si="0"/>
        <v>1</v>
      </c>
      <c r="F8" s="2" t="s">
        <v>57</v>
      </c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</row>
    <row r="9" spans="1:20" x14ac:dyDescent="0.45">
      <c r="A9" t="s">
        <v>42</v>
      </c>
      <c r="D9">
        <v>3</v>
      </c>
      <c r="E9">
        <f t="shared" si="0"/>
        <v>0</v>
      </c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</row>
    <row r="10" spans="1:20" x14ac:dyDescent="0.45">
      <c r="A10" t="s">
        <v>43</v>
      </c>
      <c r="D10">
        <v>2</v>
      </c>
      <c r="E10">
        <f t="shared" si="0"/>
        <v>0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</row>
    <row r="13" spans="1:20" x14ac:dyDescent="0.45">
      <c r="A13" t="s">
        <v>47</v>
      </c>
    </row>
    <row r="14" spans="1:20" x14ac:dyDescent="0.45">
      <c r="S14">
        <f>2389338/6</f>
        <v>398223</v>
      </c>
    </row>
    <row r="15" spans="1:20" x14ac:dyDescent="0.45">
      <c r="A15" t="s">
        <v>48</v>
      </c>
    </row>
    <row r="16" spans="1:20" x14ac:dyDescent="0.45">
      <c r="A16" t="s">
        <v>50</v>
      </c>
    </row>
    <row r="17" spans="1:1" x14ac:dyDescent="0.45">
      <c r="A17" t="s">
        <v>51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Yusuke Yasutake</dc:creator>
  <cp:lastModifiedBy>Yusuke Yasutake</cp:lastModifiedBy>
  <dcterms:created xsi:type="dcterms:W3CDTF">2026-05-27T01:57:46Z</dcterms:created>
  <dcterms:modified xsi:type="dcterms:W3CDTF">2026-06-23T03:49:51Z</dcterms:modified>
</cp:coreProperties>
</file>